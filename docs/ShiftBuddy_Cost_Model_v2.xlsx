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Provider Costs" sheetId="2" state="visible" r:id="rId2"/>
    <sheet name="LLM Costs" sheetId="3" state="visible" r:id="rId3"/>
    <sheet name="3-Year Projections" sheetId="4" state="visible" r:id="rId4"/>
    <sheet name="Break-Even" sheetId="5" state="visible" r:id="rId5"/>
    <sheet name="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€#,##0"/>
    <numFmt numFmtId="165" formatCode="€#,##0.000"/>
    <numFmt numFmtId="166" formatCode="$#,##0.00"/>
    <numFmt numFmtId="167" formatCode="€#,##0.00000"/>
    <numFmt numFmtId="168" formatCode="€#,##0.00"/>
    <numFmt numFmtId="169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4E79"/>
      <sz val="11"/>
    </font>
    <font>
      <sz val="10"/>
    </font>
    <font>
      <b val="1"/>
      <color rgb="000000CC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1" pivotButton="0" quotePrefix="0" xfId="0"/>
    <xf numFmtId="0" fontId="4" fillId="4" borderId="1" pivotButton="0" quotePrefix="0" xfId="0"/>
    <xf numFmtId="9" fontId="4" fillId="4" borderId="1" pivotButton="0" quotePrefix="0" xfId="0"/>
    <xf numFmtId="3" fontId="0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165" fontId="0" fillId="5" borderId="1" pivotButton="0" quotePrefix="0" xfId="0"/>
    <xf numFmtId="166" fontId="4" fillId="4" borderId="1" pivotButton="0" quotePrefix="0" xfId="0"/>
    <xf numFmtId="167" fontId="0" fillId="5" borderId="1" pivotButton="0" quotePrefix="0" xfId="0"/>
    <xf numFmtId="164" fontId="0" fillId="5" borderId="1" pivotButton="0" quotePrefix="0" xfId="0"/>
    <xf numFmtId="0" fontId="0" fillId="5" borderId="1" pivotButton="0" quotePrefix="0" xfId="0"/>
    <xf numFmtId="9" fontId="0" fillId="5" borderId="1" pivotButton="0" quotePrefix="0" xfId="0"/>
    <xf numFmtId="168" fontId="0" fillId="5" borderId="1" pivotButton="0" quotePrefix="0" xfId="0"/>
    <xf numFmtId="169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15" customWidth="1" min="4" max="4"/>
  </cols>
  <sheetData>
    <row r="1">
      <c r="A1" s="1" t="inlineStr">
        <is>
          <t>ShiftBuddy — MASTER ASSUMPTIONS (Edit Yellow Cells)</t>
        </is>
      </c>
    </row>
    <row r="3">
      <c r="A3" s="2" t="inlineStr">
        <is>
          <t>OPERATIONAL PARAMETERS</t>
        </is>
      </c>
    </row>
    <row r="4">
      <c r="A4" s="3" t="inlineStr">
        <is>
          <t>Messages per operator per day</t>
        </is>
      </c>
      <c r="B4" s="4" t="n">
        <v>4</v>
      </c>
    </row>
    <row r="5">
      <c r="A5" s="3" t="inlineStr">
        <is>
          <t>Working days per month</t>
        </is>
      </c>
      <c r="B5" s="4" t="n">
        <v>22</v>
      </c>
    </row>
    <row r="6">
      <c r="A6" s="3" t="inlineStr">
        <is>
          <t>% Template messages (paid)</t>
        </is>
      </c>
      <c r="B6" s="5" t="n">
        <v>0.5</v>
      </c>
    </row>
    <row r="7">
      <c r="A7" s="3" t="inlineStr">
        <is>
          <t>% Service messages (free 24h window)</t>
        </is>
      </c>
      <c r="B7" s="5" t="n">
        <v>0.5</v>
      </c>
    </row>
    <row r="8">
      <c r="A8" s="3" t="inlineStr">
        <is>
          <t>Escalation rate (no response)</t>
        </is>
      </c>
      <c r="B8" s="5" t="n">
        <v>0.15</v>
      </c>
    </row>
    <row r="9">
      <c r="A9" s="3" t="inlineStr">
        <is>
          <t>Messages/operator/month (calculated)</t>
        </is>
      </c>
      <c r="B9" s="6">
        <f>B4*B5</f>
        <v/>
      </c>
    </row>
    <row r="11">
      <c r="A11" s="2" t="inlineStr">
        <is>
          <t>GROWTH ASSUMPTIONS</t>
        </is>
      </c>
    </row>
    <row r="12">
      <c r="A12" s="3" t="inlineStr">
        <is>
          <t>Year 1 — End of Year Operators</t>
        </is>
      </c>
      <c r="B12" s="4" t="n">
        <v>200</v>
      </c>
    </row>
    <row r="13">
      <c r="A13" s="3" t="inlineStr">
        <is>
          <t>Year 2 — Growth Rate</t>
        </is>
      </c>
      <c r="B13" s="5" t="n">
        <v>0.5</v>
      </c>
    </row>
    <row r="14">
      <c r="A14" s="3" t="inlineStr">
        <is>
          <t>Year 3 — Growth Rate</t>
        </is>
      </c>
      <c r="B14" s="5" t="n">
        <v>1</v>
      </c>
    </row>
    <row r="15">
      <c r="A15" s="3" t="inlineStr">
        <is>
          <t>Year 2 — End of Year Operators</t>
        </is>
      </c>
      <c r="B15" s="6">
        <f>ROUND(B12*(1+B13),0)</f>
        <v/>
      </c>
    </row>
    <row r="16">
      <c r="A16" s="3" t="inlineStr">
        <is>
          <t>Year 3 — End of Year Operators</t>
        </is>
      </c>
      <c r="B16" s="6">
        <f>ROUND(B15*(1+B14),0)</f>
        <v/>
      </c>
    </row>
    <row r="17">
      <c r="A17" s="3" t="inlineStr">
        <is>
          <t>Year 1 — Avg Monthly Operators</t>
        </is>
      </c>
      <c r="B17" s="6">
        <f>ROUND(B12/2,0)</f>
        <v/>
      </c>
    </row>
    <row r="18">
      <c r="A18" s="3" t="inlineStr">
        <is>
          <t>Year 2 — Avg Monthly Operators</t>
        </is>
      </c>
      <c r="B18" s="6">
        <f>ROUND((B12+B15)/2,0)</f>
        <v/>
      </c>
    </row>
    <row r="19">
      <c r="A19" s="3" t="inlineStr">
        <is>
          <t>Year 3 — Avg Monthly Operators</t>
        </is>
      </c>
      <c r="B19" s="6">
        <f>ROUND((B15+B16)/2,0)</f>
        <v/>
      </c>
    </row>
    <row r="21">
      <c r="A21" s="2" t="inlineStr">
        <is>
          <t>PRICING TIERS (€/month flat)</t>
        </is>
      </c>
    </row>
    <row r="22">
      <c r="A22" s="3" t="inlineStr">
        <is>
          <t>Starter Tier Price (€/month)</t>
        </is>
      </c>
      <c r="B22" s="7" t="n">
        <v>99</v>
      </c>
    </row>
    <row r="23">
      <c r="A23" s="3" t="inlineStr">
        <is>
          <t>Pro Tier Price (€/month)</t>
        </is>
      </c>
      <c r="B23" s="7" t="n">
        <v>199</v>
      </c>
    </row>
    <row r="24">
      <c r="A24" s="3" t="inlineStr">
        <is>
          <t>Avg operators per customer</t>
        </is>
      </c>
      <c r="B24" s="4" t="n">
        <v>10</v>
      </c>
    </row>
    <row r="25">
      <c r="A25" s="3" t="inlineStr">
        <is>
          <t>% Starter customers</t>
        </is>
      </c>
      <c r="B25" s="5" t="n">
        <v>0.6</v>
      </c>
    </row>
    <row r="26">
      <c r="A26" s="3" t="inlineStr">
        <is>
          <t>% Pro customers</t>
        </is>
      </c>
      <c r="B26" s="5" t="n">
        <v>0.4</v>
      </c>
    </row>
    <row r="28">
      <c r="A28" s="2" t="inlineStr">
        <is>
          <t>WHATSAPP PRICING (Italy/EU) €</t>
        </is>
      </c>
    </row>
    <row r="29">
      <c r="A29" s="3" t="inlineStr">
        <is>
          <t>Utility template cost (€)</t>
        </is>
      </c>
      <c r="B29" s="8" t="n">
        <v>0.03</v>
      </c>
    </row>
    <row r="30">
      <c r="A30" s="3" t="inlineStr">
        <is>
          <t>Marketing template cost (€)</t>
        </is>
      </c>
      <c r="B30" s="8" t="n">
        <v>0.15</v>
      </c>
    </row>
    <row r="31">
      <c r="A31" s="3" t="inlineStr">
        <is>
          <t>AI-generated message cost (€, from Feb 2026)</t>
        </is>
      </c>
      <c r="B31" s="8" t="n">
        <v>0.057</v>
      </c>
    </row>
    <row r="32">
      <c r="A32" s="3" t="inlineStr">
        <is>
          <t>Service message cost (within 24h)</t>
        </is>
      </c>
      <c r="B32" s="9" t="n">
        <v>0</v>
      </c>
    </row>
    <row r="34">
      <c r="A34" s="2" t="inlineStr">
        <is>
          <t>PROVIDER MARKUPS (€/msg)</t>
        </is>
      </c>
    </row>
    <row r="35">
      <c r="A35" s="3" t="inlineStr">
        <is>
          <t>Provider</t>
        </is>
      </c>
      <c r="B35" s="3" t="inlineStr">
        <is>
          <t>Monthly Fee €</t>
        </is>
      </c>
      <c r="C35" s="3" t="inlineStr">
        <is>
          <t>Markup/msg €</t>
        </is>
      </c>
      <c r="D35" s="3" t="inlineStr">
        <is>
          <t>Notes</t>
        </is>
      </c>
    </row>
    <row r="36">
      <c r="A36" s="3" t="inlineStr">
        <is>
          <t>Cloud API Direct</t>
        </is>
      </c>
      <c r="B36" s="7" t="n">
        <v>0</v>
      </c>
      <c r="C36" s="8" t="n">
        <v>0</v>
      </c>
      <c r="D36" s="3" t="inlineStr">
        <is>
          <t>Meta direct, no middleman</t>
        </is>
      </c>
    </row>
    <row r="37">
      <c r="A37" s="3" t="inlineStr">
        <is>
          <t>360dialog</t>
        </is>
      </c>
      <c r="B37" s="7" t="n">
        <v>49</v>
      </c>
      <c r="C37" s="8" t="n">
        <v>0</v>
      </c>
      <c r="D37" s="3" t="inlineStr">
        <is>
          <t>Flat €49 + Meta costs</t>
        </is>
      </c>
    </row>
    <row r="38">
      <c r="A38" s="3" t="inlineStr">
        <is>
          <t>Twilio</t>
        </is>
      </c>
      <c r="B38" s="7" t="n">
        <v>0</v>
      </c>
      <c r="C38" s="8" t="n">
        <v>0.005</v>
      </c>
      <c r="D38" s="3" t="inlineStr">
        <is>
          <t>Pay-as-you-go + markup</t>
        </is>
      </c>
    </row>
    <row r="39">
      <c r="A39" s="3" t="inlineStr">
        <is>
          <t>Gupshup</t>
        </is>
      </c>
      <c r="B39" s="7" t="n">
        <v>0</v>
      </c>
      <c r="C39" s="8" t="n">
        <v>0.001</v>
      </c>
      <c r="D39" s="3" t="inlineStr">
        <is>
          <t>Cheapest markup</t>
        </is>
      </c>
    </row>
    <row r="40">
      <c r="A40" s="3" t="inlineStr">
        <is>
          <t>WATI</t>
        </is>
      </c>
      <c r="B40" s="7" t="n">
        <v>40</v>
      </c>
      <c r="C40" s="8" t="n">
        <v>0.006</v>
      </c>
      <c r="D40" s="3" t="inlineStr">
        <is>
          <t>SMB subscription model</t>
        </is>
      </c>
    </row>
    <row r="42">
      <c r="A42" s="2" t="inlineStr">
        <is>
          <t>LLM COSTS</t>
        </is>
      </c>
    </row>
    <row r="43">
      <c r="A43" s="3" t="inlineStr">
        <is>
          <t>Avg input tokens per message</t>
        </is>
      </c>
      <c r="B43" s="4" t="n">
        <v>500</v>
      </c>
    </row>
    <row r="44">
      <c r="A44" s="3" t="inlineStr">
        <is>
          <t>Avg output tokens per message</t>
        </is>
      </c>
      <c r="B44" s="4" t="n">
        <v>300</v>
      </c>
    </row>
    <row r="45">
      <c r="A45" s="3" t="inlineStr">
        <is>
          <t>% messages needing LLM processing</t>
        </is>
      </c>
      <c r="B45" s="5" t="n">
        <v>0.6</v>
      </c>
    </row>
    <row r="46">
      <c r="A46" s="3" t="inlineStr">
        <is>
          <t>Sonnet 4.5 — Input price ($/1M tokens)</t>
        </is>
      </c>
      <c r="B46" s="10" t="n">
        <v>3</v>
      </c>
    </row>
    <row r="47">
      <c r="A47" s="3" t="inlineStr">
        <is>
          <t>Sonnet 4.5 — Output price ($/1M tokens)</t>
        </is>
      </c>
      <c r="B47" s="10" t="n">
        <v>15</v>
      </c>
    </row>
    <row r="48">
      <c r="A48" s="3" t="inlineStr">
        <is>
          <t>Haiku 3.5 — Input price ($/1M tokens)</t>
        </is>
      </c>
      <c r="B48" s="10" t="n">
        <v>0.8</v>
      </c>
    </row>
    <row r="49">
      <c r="A49" s="3" t="inlineStr">
        <is>
          <t>Haiku 3.5 — Output price ($/1M tokens)</t>
        </is>
      </c>
      <c r="B49" s="10" t="n">
        <v>4</v>
      </c>
    </row>
    <row r="50">
      <c r="A50" s="3" t="inlineStr">
        <is>
          <t>USD to EUR exchange rate</t>
        </is>
      </c>
      <c r="B50" s="4" t="n">
        <v>0.92</v>
      </c>
    </row>
    <row r="51">
      <c r="A51" s="3" t="inlineStr">
        <is>
          <t>Sonnet 4.5 cost/message (€)</t>
        </is>
      </c>
      <c r="B51" s="11">
        <f>(B43*B46/1000000 + B44*B47/1000000)*B50</f>
        <v/>
      </c>
    </row>
    <row r="52">
      <c r="A52" s="3" t="inlineStr">
        <is>
          <t>Haiku 3.5 cost/message (€)</t>
        </is>
      </c>
      <c r="B52" s="11">
        <f>(B43*B48/1000000 + B44*B49/1000000)*B50</f>
        <v/>
      </c>
    </row>
    <row r="54">
      <c r="A54" s="2" t="inlineStr">
        <is>
          <t>SERVER / INFRASTRUCTURE</t>
        </is>
      </c>
    </row>
    <row r="55">
      <c r="A55" s="3" t="inlineStr">
        <is>
          <t>Base server cost (€/month)</t>
        </is>
      </c>
      <c r="B55" s="7" t="n">
        <v>30</v>
      </c>
    </row>
    <row r="56">
      <c r="A56" s="3" t="inlineStr">
        <is>
          <t>Additional cost per 100 operators (€/month)</t>
        </is>
      </c>
      <c r="B56" s="7" t="n">
        <v>15</v>
      </c>
    </row>
    <row r="57">
      <c r="A57" s="3" t="inlineStr">
        <is>
          <t>Other SaaS tools (€/month)</t>
        </is>
      </c>
      <c r="B57" s="7" t="n">
        <v>50</v>
      </c>
    </row>
  </sheetData>
  <mergeCells count="8">
    <mergeCell ref="A1:D1"/>
    <mergeCell ref="A21:B21"/>
    <mergeCell ref="A54:B54"/>
    <mergeCell ref="A34:D34"/>
    <mergeCell ref="A11:B11"/>
    <mergeCell ref="A28:B28"/>
    <mergeCell ref="A42:D42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MONTHLY COST BY PROVIDER &amp; VOLUME</t>
        </is>
      </c>
    </row>
    <row r="3">
      <c r="A3" s="2" t="inlineStr">
        <is>
          <t>Volume Tier</t>
        </is>
      </c>
    </row>
    <row r="4">
      <c r="A4" s="3" t="inlineStr">
        <is>
          <t># Operators</t>
        </is>
      </c>
      <c r="B4" s="4" t="n">
        <v>50</v>
      </c>
      <c r="C4" s="4" t="n">
        <v>100</v>
      </c>
      <c r="D4" s="4" t="n">
        <v>200</v>
      </c>
      <c r="E4" s="4" t="n">
        <v>500</v>
      </c>
      <c r="F4" s="4" t="n">
        <v>1000</v>
      </c>
    </row>
    <row r="5">
      <c r="A5" s="3" t="inlineStr">
        <is>
          <t>Messages/month</t>
        </is>
      </c>
      <c r="B5" s="6">
        <f>B4*Assumptions!B9</f>
        <v/>
      </c>
      <c r="C5" s="6">
        <f>C4*Assumptions!B9</f>
        <v/>
      </c>
      <c r="D5" s="6">
        <f>D4*Assumptions!B9</f>
        <v/>
      </c>
      <c r="E5" s="6">
        <f>E4*Assumptions!B9</f>
        <v/>
      </c>
      <c r="F5" s="6">
        <f>F4*Assumptions!B9</f>
        <v/>
      </c>
    </row>
    <row r="6">
      <c r="A6" s="3" t="inlineStr">
        <is>
          <t>Template msgs (paid)</t>
        </is>
      </c>
      <c r="B6" s="6">
        <f>B5*Assumptions!B6</f>
        <v/>
      </c>
      <c r="C6" s="6">
        <f>C5*Assumptions!B6</f>
        <v/>
      </c>
      <c r="D6" s="6">
        <f>D5*Assumptions!B6</f>
        <v/>
      </c>
      <c r="E6" s="6">
        <f>E5*Assumptions!B6</f>
        <v/>
      </c>
      <c r="F6" s="6">
        <f>F5*Assumptions!B6</f>
        <v/>
      </c>
    </row>
    <row r="7">
      <c r="A7" s="3" t="inlineStr">
        <is>
          <t>Service msgs (free)</t>
        </is>
      </c>
      <c r="B7" s="6">
        <f>B5*Assumptions!B7</f>
        <v/>
      </c>
      <c r="C7" s="6">
        <f>C5*Assumptions!B7</f>
        <v/>
      </c>
      <c r="D7" s="6">
        <f>D5*Assumptions!B7</f>
        <v/>
      </c>
      <c r="E7" s="6">
        <f>E5*Assumptions!B7</f>
        <v/>
      </c>
      <c r="F7" s="6">
        <f>F5*Assumptions!B7</f>
        <v/>
      </c>
    </row>
    <row r="9">
      <c r="A9" s="2" t="inlineStr">
        <is>
          <t>MONTHLY WHATSAPP COST BY PROVIDER (€)</t>
        </is>
      </c>
    </row>
    <row r="10">
      <c r="A10" s="3" t="inlineStr">
        <is>
          <t>Cloud API Direct</t>
        </is>
      </c>
      <c r="B10" s="12">
        <f>Assumptions!B36 + B6*(Assumptions!B29 + Assumptions!C36)</f>
        <v/>
      </c>
      <c r="C10" s="12">
        <f>Assumptions!B36 + C6*(Assumptions!B29 + Assumptions!C36)</f>
        <v/>
      </c>
      <c r="D10" s="12">
        <f>Assumptions!B36 + D6*(Assumptions!B29 + Assumptions!C36)</f>
        <v/>
      </c>
      <c r="E10" s="12">
        <f>Assumptions!B36 + E6*(Assumptions!B29 + Assumptions!C36)</f>
        <v/>
      </c>
      <c r="F10" s="12">
        <f>Assumptions!B36 + F6*(Assumptions!B29 + Assumptions!C36)</f>
        <v/>
      </c>
    </row>
    <row r="11">
      <c r="A11" s="3" t="inlineStr">
        <is>
          <t>360dialog</t>
        </is>
      </c>
      <c r="B11" s="12">
        <f>Assumptions!B37 + B6*(Assumptions!B29 + Assumptions!C37)</f>
        <v/>
      </c>
      <c r="C11" s="12">
        <f>Assumptions!B37 + C6*(Assumptions!B29 + Assumptions!C37)</f>
        <v/>
      </c>
      <c r="D11" s="12">
        <f>Assumptions!B37 + D6*(Assumptions!B29 + Assumptions!C37)</f>
        <v/>
      </c>
      <c r="E11" s="12">
        <f>Assumptions!B37 + E6*(Assumptions!B29 + Assumptions!C37)</f>
        <v/>
      </c>
      <c r="F11" s="12">
        <f>Assumptions!B37 + F6*(Assumptions!B29 + Assumptions!C37)</f>
        <v/>
      </c>
    </row>
    <row r="12">
      <c r="A12" s="3" t="inlineStr">
        <is>
          <t>Twilio</t>
        </is>
      </c>
      <c r="B12" s="12">
        <f>Assumptions!B38 + B6*(Assumptions!B29 + Assumptions!C38)</f>
        <v/>
      </c>
      <c r="C12" s="12">
        <f>Assumptions!B38 + C6*(Assumptions!B29 + Assumptions!C38)</f>
        <v/>
      </c>
      <c r="D12" s="12">
        <f>Assumptions!B38 + D6*(Assumptions!B29 + Assumptions!C38)</f>
        <v/>
      </c>
      <c r="E12" s="12">
        <f>Assumptions!B38 + E6*(Assumptions!B29 + Assumptions!C38)</f>
        <v/>
      </c>
      <c r="F12" s="12">
        <f>Assumptions!B38 + F6*(Assumptions!B29 + Assumptions!C38)</f>
        <v/>
      </c>
    </row>
    <row r="13">
      <c r="A13" s="3" t="inlineStr">
        <is>
          <t>Gupshup</t>
        </is>
      </c>
      <c r="B13" s="12">
        <f>Assumptions!B39 + B6*(Assumptions!B29 + Assumptions!C39)</f>
        <v/>
      </c>
      <c r="C13" s="12">
        <f>Assumptions!B39 + C6*(Assumptions!B29 + Assumptions!C39)</f>
        <v/>
      </c>
      <c r="D13" s="12">
        <f>Assumptions!B39 + D6*(Assumptions!B29 + Assumptions!C39)</f>
        <v/>
      </c>
      <c r="E13" s="12">
        <f>Assumptions!B39 + E6*(Assumptions!B29 + Assumptions!C39)</f>
        <v/>
      </c>
      <c r="F13" s="12">
        <f>Assumptions!B39 + F6*(Assumptions!B29 + Assumptions!C39)</f>
        <v/>
      </c>
    </row>
    <row r="14">
      <c r="A14" s="3" t="inlineStr">
        <is>
          <t>WATI</t>
        </is>
      </c>
      <c r="B14" s="12">
        <f>Assumptions!B40 + B6*(Assumptions!B29 + Assumptions!C40)</f>
        <v/>
      </c>
      <c r="C14" s="12">
        <f>Assumptions!B40 + C6*(Assumptions!B29 + Assumptions!C40)</f>
        <v/>
      </c>
      <c r="D14" s="12">
        <f>Assumptions!B40 + D6*(Assumptions!B29 + Assumptions!C40)</f>
        <v/>
      </c>
      <c r="E14" s="12">
        <f>Assumptions!B40 + E6*(Assumptions!B29 + Assumptions!C40)</f>
        <v/>
      </c>
      <c r="F14" s="12">
        <f>Assumptions!B40 + F6*(Assumptions!B29 + Assumptions!C40)</f>
        <v/>
      </c>
    </row>
    <row r="16">
      <c r="A16" s="2" t="inlineStr">
        <is>
          <t>CHEAPEST PROVIDER</t>
        </is>
      </c>
    </row>
    <row r="17">
      <c r="B17" s="13">
        <f>INDEX(A10:A14,MATCH(MIN(B10:B14),B10:B14,0))</f>
        <v/>
      </c>
      <c r="C17" s="13">
        <f>INDEX(A10:A14,MATCH(MIN(C10:C14),C10:C14,0))</f>
        <v/>
      </c>
      <c r="D17" s="13">
        <f>INDEX(A10:A14,MATCH(MIN(D10:D14),D10:D14,0))</f>
        <v/>
      </c>
      <c r="E17" s="13">
        <f>INDEX(A10:A14,MATCH(MIN(E10:E14),E10:E14,0))</f>
        <v/>
      </c>
      <c r="F17" s="13">
        <f>INDEX(A10:A14,MATCH(MIN(F10:F14),F10:F14,0))</f>
        <v/>
      </c>
    </row>
    <row r="18">
      <c r="A18" s="3" t="inlineStr">
        <is>
          <t>Lowest Cost (€)</t>
        </is>
      </c>
      <c r="B18" s="12">
        <f>MIN(B10:B14)</f>
        <v/>
      </c>
      <c r="C18" s="12">
        <f>MIN(C10:C14)</f>
        <v/>
      </c>
      <c r="D18" s="12">
        <f>MIN(D10:D14)</f>
        <v/>
      </c>
      <c r="E18" s="12">
        <f>MIN(E10:E14)</f>
        <v/>
      </c>
      <c r="F18" s="12">
        <f>MIN(F10:F14)</f>
        <v/>
      </c>
    </row>
  </sheetData>
  <mergeCells count="4">
    <mergeCell ref="A3:F3"/>
    <mergeCell ref="A16:F16"/>
    <mergeCell ref="A1:F1"/>
    <mergeCell ref="A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LLM COST ANALYSIS — SONNET 4.5 vs HAIKU 3.5</t>
        </is>
      </c>
    </row>
    <row r="3">
      <c r="A3" s="2" t="inlineStr">
        <is>
          <t>PER-MESSAGE COSTS</t>
        </is>
      </c>
    </row>
    <row r="4">
      <c r="A4" s="3" t="inlineStr"/>
      <c r="B4" s="3" t="inlineStr">
        <is>
          <t>Sonnet 4.5</t>
        </is>
      </c>
      <c r="C4" s="3" t="inlineStr">
        <is>
          <t>Haiku 3.5</t>
        </is>
      </c>
    </row>
    <row r="5">
      <c r="A5" s="3" t="inlineStr">
        <is>
          <t>Cost per LLM-processed message (€)</t>
        </is>
      </c>
      <c r="B5" s="11">
        <f>Assumptions!B51</f>
        <v/>
      </c>
      <c r="C5" s="11">
        <f>Assumptions!B52</f>
        <v/>
      </c>
    </row>
    <row r="6">
      <c r="A6" s="3" t="inlineStr">
        <is>
          <t>% messages needing LLM</t>
        </is>
      </c>
      <c r="B6" s="14">
        <f>Assumptions!B45</f>
        <v/>
      </c>
      <c r="C6" s="14">
        <f>Assumptions!B45</f>
        <v/>
      </c>
    </row>
    <row r="9">
      <c r="A9" s="2" t="inlineStr">
        <is>
          <t>MONTHLY LLM COST BY OPERATOR COUNT</t>
        </is>
      </c>
    </row>
    <row r="10">
      <c r="A10" s="3" t="inlineStr">
        <is>
          <t># Operators</t>
        </is>
      </c>
      <c r="B10" s="4" t="n">
        <v>50</v>
      </c>
      <c r="C10" s="4" t="n">
        <v>100</v>
      </c>
      <c r="D10" s="4" t="n">
        <v>200</v>
      </c>
      <c r="E10" s="4" t="n">
        <v>500</v>
      </c>
      <c r="F10" s="4" t="n">
        <v>1000</v>
      </c>
    </row>
    <row r="11">
      <c r="A11" s="3" t="inlineStr">
        <is>
          <t>Total messages/month</t>
        </is>
      </c>
      <c r="B11" s="6">
        <f>B10*Assumptions!B9</f>
        <v/>
      </c>
      <c r="C11" s="6">
        <f>C10*Assumptions!B9</f>
        <v/>
      </c>
      <c r="D11" s="6">
        <f>D10*Assumptions!B9</f>
        <v/>
      </c>
      <c r="E11" s="6">
        <f>E10*Assumptions!B9</f>
        <v/>
      </c>
      <c r="F11" s="6">
        <f>F10*Assumptions!B9</f>
        <v/>
      </c>
    </row>
    <row r="12">
      <c r="A12" s="3" t="inlineStr">
        <is>
          <t>LLM-processed messages/month</t>
        </is>
      </c>
      <c r="B12" s="6">
        <f>B11*Assumptions!B45</f>
        <v/>
      </c>
      <c r="C12" s="6">
        <f>C11*Assumptions!B45</f>
        <v/>
      </c>
      <c r="D12" s="6">
        <f>D11*Assumptions!B45</f>
        <v/>
      </c>
      <c r="E12" s="6">
        <f>E11*Assumptions!B45</f>
        <v/>
      </c>
      <c r="F12" s="6">
        <f>F11*Assumptions!B45</f>
        <v/>
      </c>
    </row>
    <row r="14">
      <c r="A14" s="3" t="inlineStr">
        <is>
          <t>Sonnet 4.5 — Monthly LLM Cost (€)</t>
        </is>
      </c>
      <c r="B14" s="15">
        <f>B12*Assumptions!B51</f>
        <v/>
      </c>
      <c r="C14" s="15">
        <f>C12*Assumptions!B51</f>
        <v/>
      </c>
      <c r="D14" s="15">
        <f>D12*Assumptions!B51</f>
        <v/>
      </c>
      <c r="E14" s="15">
        <f>E12*Assumptions!B51</f>
        <v/>
      </c>
      <c r="F14" s="15">
        <f>F12*Assumptions!B51</f>
        <v/>
      </c>
    </row>
    <row r="15">
      <c r="A15" s="3" t="inlineStr">
        <is>
          <t>Haiku 3.5 — Monthly LLM Cost (€)</t>
        </is>
      </c>
      <c r="B15" s="15">
        <f>B12*Assumptions!B52</f>
        <v/>
      </c>
      <c r="C15" s="15">
        <f>C12*Assumptions!B52</f>
        <v/>
      </c>
      <c r="D15" s="15">
        <f>D12*Assumptions!B52</f>
        <v/>
      </c>
      <c r="E15" s="15">
        <f>E12*Assumptions!B52</f>
        <v/>
      </c>
      <c r="F15" s="15">
        <f>F12*Assumptions!B52</f>
        <v/>
      </c>
    </row>
    <row r="17">
      <c r="A17" s="2" t="inlineStr">
        <is>
          <t>LLM COST PER OPERATOR / MONTH</t>
        </is>
      </c>
    </row>
    <row r="18">
      <c r="A18" s="3" t="inlineStr">
        <is>
          <t>Sonnet 4.5 — per operator (€)</t>
        </is>
      </c>
      <c r="B18" s="9">
        <f>B14/B10</f>
        <v/>
      </c>
      <c r="C18" s="9">
        <f>C14/C10</f>
        <v/>
      </c>
      <c r="D18" s="9">
        <f>D14/D10</f>
        <v/>
      </c>
      <c r="E18" s="9">
        <f>E14/E10</f>
        <v/>
      </c>
      <c r="F18" s="9">
        <f>F14/F10</f>
        <v/>
      </c>
    </row>
    <row r="19">
      <c r="A19" s="3" t="inlineStr">
        <is>
          <t>Haiku 3.5 — per operator (€)</t>
        </is>
      </c>
      <c r="B19" s="9">
        <f>B15/B10</f>
        <v/>
      </c>
      <c r="C19" s="9">
        <f>C15/C10</f>
        <v/>
      </c>
      <c r="D19" s="9">
        <f>D15/D10</f>
        <v/>
      </c>
      <c r="E19" s="9">
        <f>E15/E10</f>
        <v/>
      </c>
      <c r="F19" s="9">
        <f>F15/F10</f>
        <v/>
      </c>
    </row>
    <row r="21">
      <c r="A21" s="2" t="inlineStr">
        <is>
          <t>SAVINGS: SONNET vs HAIKU</t>
        </is>
      </c>
    </row>
    <row r="22">
      <c r="A22" s="3" t="inlineStr">
        <is>
          <t>Monthly savings with Haiku (€)</t>
        </is>
      </c>
      <c r="B22" s="15">
        <f>B14-B15</f>
        <v/>
      </c>
      <c r="C22" s="15">
        <f>C14-C15</f>
        <v/>
      </c>
      <c r="D22" s="15">
        <f>D14-D15</f>
        <v/>
      </c>
      <c r="E22" s="15">
        <f>E14-E15</f>
        <v/>
      </c>
      <c r="F22" s="15">
        <f>F14-F15</f>
        <v/>
      </c>
    </row>
    <row r="23">
      <c r="A23" s="3" t="inlineStr">
        <is>
          <t>Annual savings with Haiku (€)</t>
        </is>
      </c>
      <c r="B23" s="12">
        <f>B22*12</f>
        <v/>
      </c>
      <c r="C23" s="12">
        <f>C22*12</f>
        <v/>
      </c>
      <c r="D23" s="12">
        <f>D22*12</f>
        <v/>
      </c>
      <c r="E23" s="12">
        <f>E22*12</f>
        <v/>
      </c>
      <c r="F23" s="12">
        <f>F22*12</f>
        <v/>
      </c>
    </row>
  </sheetData>
  <mergeCells count="5">
    <mergeCell ref="A21:E21"/>
    <mergeCell ref="A1:E1"/>
    <mergeCell ref="A3:C3"/>
    <mergeCell ref="A17:E17"/>
    <mergeCell ref="A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3-YEAR PROJECTIONS (All Providers × LLM Models)</t>
        </is>
      </c>
    </row>
    <row r="3">
      <c r="A3" s="2" t="inlineStr">
        <is>
          <t>VOLUME METRICS (from Assumptions)</t>
        </is>
      </c>
    </row>
    <row r="4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</row>
    <row r="5">
      <c r="A5" s="3" t="inlineStr">
        <is>
          <t>End of Year Operators</t>
        </is>
      </c>
      <c r="B5" s="13">
        <f>Assumptions!B12</f>
        <v/>
      </c>
      <c r="C5" s="13">
        <f>Assumptions!B15</f>
        <v/>
      </c>
      <c r="D5" s="13">
        <f>Assumptions!B16</f>
        <v/>
      </c>
    </row>
    <row r="6">
      <c r="A6" s="3" t="inlineStr">
        <is>
          <t>Avg Monthly Operators</t>
        </is>
      </c>
      <c r="B6" s="13">
        <f>Assumptions!B17</f>
        <v/>
      </c>
      <c r="C6" s="13">
        <f>Assumptions!B18</f>
        <v/>
      </c>
      <c r="D6" s="13">
        <f>Assumptions!B19</f>
        <v/>
      </c>
    </row>
    <row r="7">
      <c r="A7" s="3" t="inlineStr">
        <is>
          <t>Total Customers</t>
        </is>
      </c>
      <c r="B7" s="13">
        <f>ROUND(B6/Assumptions!B24,0)</f>
        <v/>
      </c>
      <c r="C7" s="13">
        <f>ROUND(C6/Assumptions!B24,0)</f>
        <v/>
      </c>
      <c r="D7" s="13">
        <f>ROUND(D6/Assumptions!B24,0)</f>
        <v/>
      </c>
    </row>
    <row r="8">
      <c r="A8" s="3" t="inlineStr">
        <is>
          <t>Messages/month</t>
        </is>
      </c>
      <c r="B8" s="6">
        <f>B6*Assumptions!B9</f>
        <v/>
      </c>
      <c r="C8" s="6">
        <f>C6*Assumptions!B9</f>
        <v/>
      </c>
      <c r="D8" s="6">
        <f>D6*Assumptions!B9</f>
        <v/>
      </c>
    </row>
    <row r="9">
      <c r="A9" s="3" t="inlineStr">
        <is>
          <t>Template msgs/month (paid)</t>
        </is>
      </c>
      <c r="B9" s="6">
        <f>B8*Assumptions!B6</f>
        <v/>
      </c>
      <c r="C9" s="6">
        <f>C8*Assumptions!B6</f>
        <v/>
      </c>
      <c r="D9" s="6">
        <f>D8*Assumptions!B6</f>
        <v/>
      </c>
    </row>
    <row r="10">
      <c r="A10" s="3" t="inlineStr">
        <is>
          <t>LLM-processed msgs/month</t>
        </is>
      </c>
      <c r="B10" s="6">
        <f>B8*Assumptions!B45</f>
        <v/>
      </c>
      <c r="C10" s="6">
        <f>C8*Assumptions!B45</f>
        <v/>
      </c>
      <c r="D10" s="6">
        <f>D8*Assumptions!B45</f>
        <v/>
      </c>
    </row>
    <row r="12">
      <c r="A12" s="2" t="inlineStr">
        <is>
          <t>REVENUE (€)</t>
        </is>
      </c>
    </row>
    <row r="13">
      <c r="A13" s="3" t="inlineStr">
        <is>
          <t>Starter Revenue/month</t>
        </is>
      </c>
      <c r="B13" s="12">
        <f>ROUND(B7*Assumptions!B25,0)*Assumptions!B22</f>
        <v/>
      </c>
      <c r="C13" s="12">
        <f>ROUND(C7*Assumptions!B25,0)*Assumptions!B22</f>
        <v/>
      </c>
      <c r="D13" s="12">
        <f>ROUND(D7*Assumptions!B25,0)*Assumptions!B22</f>
        <v/>
      </c>
    </row>
    <row r="14">
      <c r="A14" s="3" t="inlineStr">
        <is>
          <t>Pro Revenue/month</t>
        </is>
      </c>
      <c r="B14" s="12">
        <f>ROUND(B7*Assumptions!B26,0)*Assumptions!B23</f>
        <v/>
      </c>
      <c r="C14" s="12">
        <f>ROUND(C7*Assumptions!B26,0)*Assumptions!B23</f>
        <v/>
      </c>
      <c r="D14" s="12">
        <f>ROUND(D7*Assumptions!B26,0)*Assumptions!B23</f>
        <v/>
      </c>
    </row>
    <row r="15">
      <c r="A15" s="3" t="inlineStr">
        <is>
          <t>Total Monthly Revenue</t>
        </is>
      </c>
      <c r="B15" s="12">
        <f>B13+B14</f>
        <v/>
      </c>
      <c r="C15" s="12">
        <f>C13+C14</f>
        <v/>
      </c>
      <c r="D15" s="12">
        <f>D13+D14</f>
        <v/>
      </c>
    </row>
    <row r="16">
      <c r="A16" s="3" t="inlineStr">
        <is>
          <t>Annual Revenue</t>
        </is>
      </c>
      <c r="B16" s="12">
        <f>B15*12</f>
        <v/>
      </c>
      <c r="C16" s="12">
        <f>C15*12</f>
        <v/>
      </c>
      <c r="D16" s="12">
        <f>D15*12</f>
        <v/>
      </c>
    </row>
    <row r="18">
      <c r="A18" s="2" t="inlineStr">
        <is>
          <t>INFRASTRUCTURE COSTS (€) — Variable</t>
        </is>
      </c>
    </row>
    <row r="19">
      <c r="A19" s="3" t="inlineStr">
        <is>
          <t>Server cost/month</t>
        </is>
      </c>
      <c r="B19" s="12">
        <f>Assumptions!B55+ROUNDUP(B6/100,0)*Assumptions!B56</f>
        <v/>
      </c>
      <c r="C19" s="12">
        <f>Assumptions!B55+ROUNDUP(C6/100,0)*Assumptions!B56</f>
        <v/>
      </c>
      <c r="D19" s="12">
        <f>Assumptions!B55+ROUNDUP(D6/100,0)*Assumptions!B56</f>
        <v/>
      </c>
    </row>
    <row r="20">
      <c r="A20" s="3" t="inlineStr">
        <is>
          <t>SaaS tools/month</t>
        </is>
      </c>
      <c r="B20" s="12">
        <f>Assumptions!B57</f>
        <v/>
      </c>
      <c r="C20" s="12">
        <f>Assumptions!B57</f>
        <v/>
      </c>
      <c r="D20" s="12">
        <f>Assumptions!B57</f>
        <v/>
      </c>
    </row>
    <row r="22">
      <c r="A22" s="2" t="inlineStr">
        <is>
          <t>LLM COSTS (€) — Monthly</t>
        </is>
      </c>
    </row>
    <row r="23">
      <c r="A23" s="3" t="inlineStr">
        <is>
          <t>Sonnet 4.5 — LLM cost/month</t>
        </is>
      </c>
      <c r="B23" s="12">
        <f>B10*Assumptions!B51</f>
        <v/>
      </c>
      <c r="C23" s="12">
        <f>C10*Assumptions!B51</f>
        <v/>
      </c>
      <c r="D23" s="12">
        <f>D10*Assumptions!B51</f>
        <v/>
      </c>
    </row>
    <row r="24">
      <c r="A24" s="3" t="inlineStr">
        <is>
          <t>Haiku 3.5 — LLM cost/month</t>
        </is>
      </c>
      <c r="B24" s="12">
        <f>B10*Assumptions!B52</f>
        <v/>
      </c>
      <c r="C24" s="12">
        <f>C10*Assumptions!B52</f>
        <v/>
      </c>
      <c r="D24" s="12">
        <f>D10*Assumptions!B52</f>
        <v/>
      </c>
    </row>
    <row r="26">
      <c r="A26" s="2" t="inlineStr">
        <is>
          <t>── CLOUD API DIRECT ──</t>
        </is>
      </c>
    </row>
    <row r="27">
      <c r="A27" s="3" t="inlineStr">
        <is>
          <t xml:space="preserve">  WhatsApp cost/month</t>
        </is>
      </c>
      <c r="B27" s="12">
        <f>Assumptions!B36+B9*(Assumptions!B29+Assumptions!C36)</f>
        <v/>
      </c>
      <c r="C27" s="12">
        <f>Assumptions!B36+C9*(Assumptions!B29+Assumptions!C36)</f>
        <v/>
      </c>
      <c r="D27" s="12">
        <f>Assumptions!B36+D9*(Assumptions!B29+Assumptions!C36)</f>
        <v/>
      </c>
    </row>
    <row r="28">
      <c r="A28" s="3" t="inlineStr">
        <is>
          <t xml:space="preserve">  Total cost/month (Sonnet 4.5)</t>
        </is>
      </c>
      <c r="B28" s="12">
        <f>B27+B23+B19+B20</f>
        <v/>
      </c>
      <c r="C28" s="12">
        <f>C27+C23+C19+C20</f>
        <v/>
      </c>
      <c r="D28" s="12">
        <f>D27+D23+D19+D20</f>
        <v/>
      </c>
    </row>
    <row r="29">
      <c r="A29" s="3" t="inlineStr">
        <is>
          <t xml:space="preserve">  Total cost/month (Haiku 3.5)</t>
        </is>
      </c>
      <c r="B29" s="12">
        <f>B27+B24+B19+B20</f>
        <v/>
      </c>
      <c r="C29" s="12">
        <f>C27+C24+C19+C20</f>
        <v/>
      </c>
      <c r="D29" s="12">
        <f>D27+D24+D19+D20</f>
        <v/>
      </c>
    </row>
    <row r="30">
      <c r="A30" s="3" t="inlineStr">
        <is>
          <t xml:space="preserve">  Gross Profit/month (Sonnet)</t>
        </is>
      </c>
      <c r="B30" s="12">
        <f>B15-B28</f>
        <v/>
      </c>
      <c r="C30" s="12">
        <f>C15-C28</f>
        <v/>
      </c>
      <c r="D30" s="12">
        <f>D15-D28</f>
        <v/>
      </c>
    </row>
    <row r="31">
      <c r="A31" s="3" t="inlineStr">
        <is>
          <t xml:space="preserve">  Gross Profit/month (Haiku)</t>
        </is>
      </c>
      <c r="B31" s="12">
        <f>B15-B29</f>
        <v/>
      </c>
      <c r="C31" s="12">
        <f>C15-C29</f>
        <v/>
      </c>
      <c r="D31" s="12">
        <f>D15-D29</f>
        <v/>
      </c>
    </row>
    <row r="32">
      <c r="A32" s="3" t="inlineStr">
        <is>
          <t xml:space="preserve">  Gross Margin % (Sonnet)</t>
        </is>
      </c>
      <c r="B32" s="16">
        <f>B30/B15</f>
        <v/>
      </c>
      <c r="C32" s="16">
        <f>C30/C15</f>
        <v/>
      </c>
      <c r="D32" s="16">
        <f>D30/D15</f>
        <v/>
      </c>
    </row>
    <row r="33">
      <c r="A33" s="3" t="inlineStr">
        <is>
          <t xml:space="preserve">  Gross Margin % (Haiku)</t>
        </is>
      </c>
      <c r="B33" s="16">
        <f>B31/B15</f>
        <v/>
      </c>
      <c r="C33" s="16">
        <f>C31/C15</f>
        <v/>
      </c>
      <c r="D33" s="16">
        <f>D31/D15</f>
        <v/>
      </c>
    </row>
    <row r="34">
      <c r="A34" s="3" t="inlineStr">
        <is>
          <t xml:space="preserve">  Annual Gross Profit (Sonnet)</t>
        </is>
      </c>
      <c r="B34" s="12">
        <f>B30*12</f>
        <v/>
      </c>
      <c r="C34" s="12">
        <f>C30*12</f>
        <v/>
      </c>
      <c r="D34" s="12">
        <f>D30*12</f>
        <v/>
      </c>
    </row>
    <row r="35">
      <c r="A35" s="3" t="inlineStr">
        <is>
          <t xml:space="preserve">  Annual Gross Profit (Haiku)</t>
        </is>
      </c>
      <c r="B35" s="12">
        <f>B31*12</f>
        <v/>
      </c>
      <c r="C35" s="12">
        <f>C31*12</f>
        <v/>
      </c>
      <c r="D35" s="12">
        <f>D31*12</f>
        <v/>
      </c>
    </row>
    <row r="37">
      <c r="A37" s="2" t="inlineStr">
        <is>
          <t>── 360DIALOG ──</t>
        </is>
      </c>
    </row>
    <row r="38">
      <c r="A38" s="3" t="inlineStr">
        <is>
          <t xml:space="preserve">  WhatsApp cost/month</t>
        </is>
      </c>
      <c r="B38" s="12">
        <f>Assumptions!B37+B9*(Assumptions!B29+Assumptions!C37)</f>
        <v/>
      </c>
      <c r="C38" s="12">
        <f>Assumptions!B37+C9*(Assumptions!B29+Assumptions!C37)</f>
        <v/>
      </c>
      <c r="D38" s="12">
        <f>Assumptions!B37+D9*(Assumptions!B29+Assumptions!C37)</f>
        <v/>
      </c>
    </row>
    <row r="39">
      <c r="A39" s="3" t="inlineStr">
        <is>
          <t xml:space="preserve">  Total cost/month (Sonnet 4.5)</t>
        </is>
      </c>
      <c r="B39" s="12">
        <f>B38+B23+B19+B20</f>
        <v/>
      </c>
      <c r="C39" s="12">
        <f>C38+C23+C19+C20</f>
        <v/>
      </c>
      <c r="D39" s="12">
        <f>D38+D23+D19+D20</f>
        <v/>
      </c>
    </row>
    <row r="40">
      <c r="A40" s="3" t="inlineStr">
        <is>
          <t xml:space="preserve">  Total cost/month (Haiku 3.5)</t>
        </is>
      </c>
      <c r="B40" s="12">
        <f>B38+B24+B19+B20</f>
        <v/>
      </c>
      <c r="C40" s="12">
        <f>C38+C24+C19+C20</f>
        <v/>
      </c>
      <c r="D40" s="12">
        <f>D38+D24+D19+D20</f>
        <v/>
      </c>
    </row>
    <row r="41">
      <c r="A41" s="3" t="inlineStr">
        <is>
          <t xml:space="preserve">  Gross Profit/month (Sonnet)</t>
        </is>
      </c>
      <c r="B41" s="12">
        <f>B15-B39</f>
        <v/>
      </c>
      <c r="C41" s="12">
        <f>C15-C39</f>
        <v/>
      </c>
      <c r="D41" s="12">
        <f>D15-D39</f>
        <v/>
      </c>
    </row>
    <row r="42">
      <c r="A42" s="3" t="inlineStr">
        <is>
          <t xml:space="preserve">  Gross Profit/month (Haiku)</t>
        </is>
      </c>
      <c r="B42" s="12">
        <f>B15-B40</f>
        <v/>
      </c>
      <c r="C42" s="12">
        <f>C15-C40</f>
        <v/>
      </c>
      <c r="D42" s="12">
        <f>D15-D40</f>
        <v/>
      </c>
    </row>
    <row r="43">
      <c r="A43" s="3" t="inlineStr">
        <is>
          <t xml:space="preserve">  Gross Margin % (Sonnet)</t>
        </is>
      </c>
      <c r="B43" s="16">
        <f>B41/B15</f>
        <v/>
      </c>
      <c r="C43" s="16">
        <f>C41/C15</f>
        <v/>
      </c>
      <c r="D43" s="16">
        <f>D41/D15</f>
        <v/>
      </c>
    </row>
    <row r="44">
      <c r="A44" s="3" t="inlineStr">
        <is>
          <t xml:space="preserve">  Gross Margin % (Haiku)</t>
        </is>
      </c>
      <c r="B44" s="16">
        <f>B42/B15</f>
        <v/>
      </c>
      <c r="C44" s="16">
        <f>C42/C15</f>
        <v/>
      </c>
      <c r="D44" s="16">
        <f>D42/D15</f>
        <v/>
      </c>
    </row>
    <row r="45">
      <c r="A45" s="3" t="inlineStr">
        <is>
          <t xml:space="preserve">  Annual Gross Profit (Sonnet)</t>
        </is>
      </c>
      <c r="B45" s="12">
        <f>B41*12</f>
        <v/>
      </c>
      <c r="C45" s="12">
        <f>C41*12</f>
        <v/>
      </c>
      <c r="D45" s="12">
        <f>D41*12</f>
        <v/>
      </c>
    </row>
    <row r="46">
      <c r="A46" s="3" t="inlineStr">
        <is>
          <t xml:space="preserve">  Annual Gross Profit (Haiku)</t>
        </is>
      </c>
      <c r="B46" s="12">
        <f>B42*12</f>
        <v/>
      </c>
      <c r="C46" s="12">
        <f>C42*12</f>
        <v/>
      </c>
      <c r="D46" s="12">
        <f>D42*12</f>
        <v/>
      </c>
    </row>
    <row r="48">
      <c r="A48" s="2" t="inlineStr">
        <is>
          <t>── TWILIO ──</t>
        </is>
      </c>
    </row>
    <row r="49">
      <c r="A49" s="3" t="inlineStr">
        <is>
          <t xml:space="preserve">  WhatsApp cost/month</t>
        </is>
      </c>
      <c r="B49" s="12">
        <f>Assumptions!B38+B9*(Assumptions!B29+Assumptions!C38)</f>
        <v/>
      </c>
      <c r="C49" s="12">
        <f>Assumptions!B38+C9*(Assumptions!B29+Assumptions!C38)</f>
        <v/>
      </c>
      <c r="D49" s="12">
        <f>Assumptions!B38+D9*(Assumptions!B29+Assumptions!C38)</f>
        <v/>
      </c>
    </row>
    <row r="50">
      <c r="A50" s="3" t="inlineStr">
        <is>
          <t xml:space="preserve">  Total cost/month (Sonnet 4.5)</t>
        </is>
      </c>
      <c r="B50" s="12">
        <f>B49+B23+B19+B20</f>
        <v/>
      </c>
      <c r="C50" s="12">
        <f>C49+C23+C19+C20</f>
        <v/>
      </c>
      <c r="D50" s="12">
        <f>D49+D23+D19+D20</f>
        <v/>
      </c>
    </row>
    <row r="51">
      <c r="A51" s="3" t="inlineStr">
        <is>
          <t xml:space="preserve">  Total cost/month (Haiku 3.5)</t>
        </is>
      </c>
      <c r="B51" s="12">
        <f>B49+B24+B19+B20</f>
        <v/>
      </c>
      <c r="C51" s="12">
        <f>C49+C24+C19+C20</f>
        <v/>
      </c>
      <c r="D51" s="12">
        <f>D49+D24+D19+D20</f>
        <v/>
      </c>
    </row>
    <row r="52">
      <c r="A52" s="3" t="inlineStr">
        <is>
          <t xml:space="preserve">  Gross Profit/month (Sonnet)</t>
        </is>
      </c>
      <c r="B52" s="12">
        <f>B15-B50</f>
        <v/>
      </c>
      <c r="C52" s="12">
        <f>C15-C50</f>
        <v/>
      </c>
      <c r="D52" s="12">
        <f>D15-D50</f>
        <v/>
      </c>
    </row>
    <row r="53">
      <c r="A53" s="3" t="inlineStr">
        <is>
          <t xml:space="preserve">  Gross Profit/month (Haiku)</t>
        </is>
      </c>
      <c r="B53" s="12">
        <f>B15-B51</f>
        <v/>
      </c>
      <c r="C53" s="12">
        <f>C15-C51</f>
        <v/>
      </c>
      <c r="D53" s="12">
        <f>D15-D51</f>
        <v/>
      </c>
    </row>
    <row r="54">
      <c r="A54" s="3" t="inlineStr">
        <is>
          <t xml:space="preserve">  Gross Margin % (Sonnet)</t>
        </is>
      </c>
      <c r="B54" s="16">
        <f>B52/B15</f>
        <v/>
      </c>
      <c r="C54" s="16">
        <f>C52/C15</f>
        <v/>
      </c>
      <c r="D54" s="16">
        <f>D52/D15</f>
        <v/>
      </c>
    </row>
    <row r="55">
      <c r="A55" s="3" t="inlineStr">
        <is>
          <t xml:space="preserve">  Gross Margin % (Haiku)</t>
        </is>
      </c>
      <c r="B55" s="16">
        <f>B53/B15</f>
        <v/>
      </c>
      <c r="C55" s="16">
        <f>C53/C15</f>
        <v/>
      </c>
      <c r="D55" s="16">
        <f>D53/D15</f>
        <v/>
      </c>
    </row>
    <row r="56">
      <c r="A56" s="3" t="inlineStr">
        <is>
          <t xml:space="preserve">  Annual Gross Profit (Sonnet)</t>
        </is>
      </c>
      <c r="B56" s="12">
        <f>B52*12</f>
        <v/>
      </c>
      <c r="C56" s="12">
        <f>C52*12</f>
        <v/>
      </c>
      <c r="D56" s="12">
        <f>D52*12</f>
        <v/>
      </c>
    </row>
    <row r="57">
      <c r="A57" s="3" t="inlineStr">
        <is>
          <t xml:space="preserve">  Annual Gross Profit (Haiku)</t>
        </is>
      </c>
      <c r="B57" s="12">
        <f>B53*12</f>
        <v/>
      </c>
      <c r="C57" s="12">
        <f>C53*12</f>
        <v/>
      </c>
      <c r="D57" s="12">
        <f>D53*12</f>
        <v/>
      </c>
    </row>
    <row r="59">
      <c r="A59" s="2" t="inlineStr">
        <is>
          <t>── GUPSHUP ──</t>
        </is>
      </c>
    </row>
    <row r="60">
      <c r="A60" s="3" t="inlineStr">
        <is>
          <t xml:space="preserve">  WhatsApp cost/month</t>
        </is>
      </c>
      <c r="B60" s="12">
        <f>Assumptions!B39+B9*(Assumptions!B29+Assumptions!C39)</f>
        <v/>
      </c>
      <c r="C60" s="12">
        <f>Assumptions!B39+C9*(Assumptions!B29+Assumptions!C39)</f>
        <v/>
      </c>
      <c r="D60" s="12">
        <f>Assumptions!B39+D9*(Assumptions!B29+Assumptions!C39)</f>
        <v/>
      </c>
    </row>
    <row r="61">
      <c r="A61" s="3" t="inlineStr">
        <is>
          <t xml:space="preserve">  Total cost/month (Sonnet 4.5)</t>
        </is>
      </c>
      <c r="B61" s="12">
        <f>B60+B23+B19+B20</f>
        <v/>
      </c>
      <c r="C61" s="12">
        <f>C60+C23+C19+C20</f>
        <v/>
      </c>
      <c r="D61" s="12">
        <f>D60+D23+D19+D20</f>
        <v/>
      </c>
    </row>
    <row r="62">
      <c r="A62" s="3" t="inlineStr">
        <is>
          <t xml:space="preserve">  Total cost/month (Haiku 3.5)</t>
        </is>
      </c>
      <c r="B62" s="12">
        <f>B60+B24+B19+B20</f>
        <v/>
      </c>
      <c r="C62" s="12">
        <f>C60+C24+C19+C20</f>
        <v/>
      </c>
      <c r="D62" s="12">
        <f>D60+D24+D19+D20</f>
        <v/>
      </c>
    </row>
    <row r="63">
      <c r="A63" s="3" t="inlineStr">
        <is>
          <t xml:space="preserve">  Gross Profit/month (Sonnet)</t>
        </is>
      </c>
      <c r="B63" s="12">
        <f>B15-B61</f>
        <v/>
      </c>
      <c r="C63" s="12">
        <f>C15-C61</f>
        <v/>
      </c>
      <c r="D63" s="12">
        <f>D15-D61</f>
        <v/>
      </c>
    </row>
    <row r="64">
      <c r="A64" s="3" t="inlineStr">
        <is>
          <t xml:space="preserve">  Gross Profit/month (Haiku)</t>
        </is>
      </c>
      <c r="B64" s="12">
        <f>B15-B62</f>
        <v/>
      </c>
      <c r="C64" s="12">
        <f>C15-C62</f>
        <v/>
      </c>
      <c r="D64" s="12">
        <f>D15-D62</f>
        <v/>
      </c>
    </row>
    <row r="65">
      <c r="A65" s="3" t="inlineStr">
        <is>
          <t xml:space="preserve">  Gross Margin % (Sonnet)</t>
        </is>
      </c>
      <c r="B65" s="16">
        <f>B63/B15</f>
        <v/>
      </c>
      <c r="C65" s="16">
        <f>C63/C15</f>
        <v/>
      </c>
      <c r="D65" s="16">
        <f>D63/D15</f>
        <v/>
      </c>
    </row>
    <row r="66">
      <c r="A66" s="3" t="inlineStr">
        <is>
          <t xml:space="preserve">  Gross Margin % (Haiku)</t>
        </is>
      </c>
      <c r="B66" s="16">
        <f>B64/B15</f>
        <v/>
      </c>
      <c r="C66" s="16">
        <f>C64/C15</f>
        <v/>
      </c>
      <c r="D66" s="16">
        <f>D64/D15</f>
        <v/>
      </c>
    </row>
    <row r="67">
      <c r="A67" s="3" t="inlineStr">
        <is>
          <t xml:space="preserve">  Annual Gross Profit (Sonnet)</t>
        </is>
      </c>
      <c r="B67" s="12">
        <f>B63*12</f>
        <v/>
      </c>
      <c r="C67" s="12">
        <f>C63*12</f>
        <v/>
      </c>
      <c r="D67" s="12">
        <f>D63*12</f>
        <v/>
      </c>
    </row>
    <row r="68">
      <c r="A68" s="3" t="inlineStr">
        <is>
          <t xml:space="preserve">  Annual Gross Profit (Haiku)</t>
        </is>
      </c>
      <c r="B68" s="12">
        <f>B64*12</f>
        <v/>
      </c>
      <c r="C68" s="12">
        <f>C64*12</f>
        <v/>
      </c>
      <c r="D68" s="12">
        <f>D64*12</f>
        <v/>
      </c>
    </row>
    <row r="70">
      <c r="A70" s="2" t="inlineStr">
        <is>
          <t>── WATI ──</t>
        </is>
      </c>
    </row>
    <row r="71">
      <c r="A71" s="3" t="inlineStr">
        <is>
          <t xml:space="preserve">  WhatsApp cost/month</t>
        </is>
      </c>
      <c r="B71" s="12">
        <f>Assumptions!B40+B9*(Assumptions!B29+Assumptions!C40)</f>
        <v/>
      </c>
      <c r="C71" s="12">
        <f>Assumptions!B40+C9*(Assumptions!B29+Assumptions!C40)</f>
        <v/>
      </c>
      <c r="D71" s="12">
        <f>Assumptions!B40+D9*(Assumptions!B29+Assumptions!C40)</f>
        <v/>
      </c>
    </row>
    <row r="72">
      <c r="A72" s="3" t="inlineStr">
        <is>
          <t xml:space="preserve">  Total cost/month (Sonnet 4.5)</t>
        </is>
      </c>
      <c r="B72" s="12">
        <f>B71+B23+B19+B20</f>
        <v/>
      </c>
      <c r="C72" s="12">
        <f>C71+C23+C19+C20</f>
        <v/>
      </c>
      <c r="D72" s="12">
        <f>D71+D23+D19+D20</f>
        <v/>
      </c>
    </row>
    <row r="73">
      <c r="A73" s="3" t="inlineStr">
        <is>
          <t xml:space="preserve">  Total cost/month (Haiku 3.5)</t>
        </is>
      </c>
      <c r="B73" s="12">
        <f>B71+B24+B19+B20</f>
        <v/>
      </c>
      <c r="C73" s="12">
        <f>C71+C24+C19+C20</f>
        <v/>
      </c>
      <c r="D73" s="12">
        <f>D71+D24+D19+D20</f>
        <v/>
      </c>
    </row>
    <row r="74">
      <c r="A74" s="3" t="inlineStr">
        <is>
          <t xml:space="preserve">  Gross Profit/month (Sonnet)</t>
        </is>
      </c>
      <c r="B74" s="12">
        <f>B15-B72</f>
        <v/>
      </c>
      <c r="C74" s="12">
        <f>C15-C72</f>
        <v/>
      </c>
      <c r="D74" s="12">
        <f>D15-D72</f>
        <v/>
      </c>
    </row>
    <row r="75">
      <c r="A75" s="3" t="inlineStr">
        <is>
          <t xml:space="preserve">  Gross Profit/month (Haiku)</t>
        </is>
      </c>
      <c r="B75" s="12">
        <f>B15-B73</f>
        <v/>
      </c>
      <c r="C75" s="12">
        <f>C15-C73</f>
        <v/>
      </c>
      <c r="D75" s="12">
        <f>D15-D73</f>
        <v/>
      </c>
    </row>
    <row r="76">
      <c r="A76" s="3" t="inlineStr">
        <is>
          <t xml:space="preserve">  Gross Margin % (Sonnet)</t>
        </is>
      </c>
      <c r="B76" s="16">
        <f>B74/B15</f>
        <v/>
      </c>
      <c r="C76" s="16">
        <f>C74/C15</f>
        <v/>
      </c>
      <c r="D76" s="16">
        <f>D74/D15</f>
        <v/>
      </c>
    </row>
    <row r="77">
      <c r="A77" s="3" t="inlineStr">
        <is>
          <t xml:space="preserve">  Gross Margin % (Haiku)</t>
        </is>
      </c>
      <c r="B77" s="16">
        <f>B75/B15</f>
        <v/>
      </c>
      <c r="C77" s="16">
        <f>C75/C15</f>
        <v/>
      </c>
      <c r="D77" s="16">
        <f>D75/D15</f>
        <v/>
      </c>
    </row>
    <row r="78">
      <c r="A78" s="3" t="inlineStr">
        <is>
          <t xml:space="preserve">  Annual Gross Profit (Sonnet)</t>
        </is>
      </c>
      <c r="B78" s="12">
        <f>B74*12</f>
        <v/>
      </c>
      <c r="C78" s="12">
        <f>C74*12</f>
        <v/>
      </c>
      <c r="D78" s="12">
        <f>D74*12</f>
        <v/>
      </c>
    </row>
    <row r="79">
      <c r="A79" s="3" t="inlineStr">
        <is>
          <t xml:space="preserve">  Annual Gross Profit (Haiku)</t>
        </is>
      </c>
      <c r="B79" s="12">
        <f>B75*12</f>
        <v/>
      </c>
      <c r="C79" s="12">
        <f>C75*12</f>
        <v/>
      </c>
      <c r="D79" s="12">
        <f>D75*12</f>
        <v/>
      </c>
    </row>
  </sheetData>
  <mergeCells count="10">
    <mergeCell ref="A1:D1"/>
    <mergeCell ref="A37:D37"/>
    <mergeCell ref="A18:D18"/>
    <mergeCell ref="A70:D70"/>
    <mergeCell ref="A22:D22"/>
    <mergeCell ref="A12:D12"/>
    <mergeCell ref="A48:D48"/>
    <mergeCell ref="A3:D3"/>
    <mergeCell ref="A26:D26"/>
    <mergeCell ref="A59:D5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1" t="inlineStr">
        <is>
          <t>BREAK-EVEN ANALYSIS</t>
        </is>
      </c>
    </row>
    <row r="3">
      <c r="A3" s="2" t="inlineStr">
        <is>
          <t>FIXED COSTS (Monthly)</t>
        </is>
      </c>
    </row>
    <row r="4">
      <c r="A4" s="3" t="inlineStr"/>
      <c r="B4" s="3" t="inlineStr">
        <is>
          <t>Sonnet 4.5</t>
        </is>
      </c>
      <c r="C4" s="3" t="inlineStr">
        <is>
          <t>Haiku 3.5</t>
        </is>
      </c>
    </row>
    <row r="5">
      <c r="A5" s="3" t="inlineStr">
        <is>
          <t>Base server cost</t>
        </is>
      </c>
      <c r="B5" s="12">
        <f>Assumptions!B55</f>
        <v/>
      </c>
      <c r="C5" s="12">
        <f>Assumptions!B55</f>
        <v/>
      </c>
    </row>
    <row r="6">
      <c r="A6" s="3" t="inlineStr">
        <is>
          <t>SaaS tools</t>
        </is>
      </c>
      <c r="B6" s="12">
        <f>Assumptions!B57</f>
        <v/>
      </c>
      <c r="C6" s="12">
        <f>Assumptions!B57</f>
        <v/>
      </c>
    </row>
    <row r="7">
      <c r="A7" s="3" t="inlineStr">
        <is>
          <t>Total Fixed Costs</t>
        </is>
      </c>
      <c r="B7" s="12">
        <f>B5+B6</f>
        <v/>
      </c>
      <c r="C7" s="12">
        <f>C5+C6</f>
        <v/>
      </c>
    </row>
    <row r="9">
      <c r="A9" s="2" t="inlineStr">
        <is>
          <t>VARIABLE COSTS (per operator/month)</t>
        </is>
      </c>
    </row>
    <row r="10">
      <c r="A10" s="3" t="inlineStr">
        <is>
          <t>WhatsApp Meta cost per operator (Cloud API)</t>
        </is>
      </c>
      <c r="B10" s="15">
        <f>Assumptions!B29*Assumptions!B9*Assumptions!B6</f>
        <v/>
      </c>
      <c r="C10" s="15">
        <f>B10</f>
        <v/>
      </c>
    </row>
    <row r="11">
      <c r="A11" s="3" t="inlineStr">
        <is>
          <t>LLM cost per operator/month</t>
        </is>
      </c>
      <c r="B11" s="15">
        <f>Assumptions!B9*Assumptions!B45*Assumptions!B51</f>
        <v/>
      </c>
      <c r="C11" s="15">
        <f>Assumptions!B9*Assumptions!B45*Assumptions!B52</f>
        <v/>
      </c>
    </row>
    <row r="12">
      <c r="A12" s="3" t="inlineStr">
        <is>
          <t>Server scaling per operator</t>
        </is>
      </c>
      <c r="B12" s="15">
        <f>Assumptions!B56/100</f>
        <v/>
      </c>
      <c r="C12" s="15">
        <f>Assumptions!B56/100</f>
        <v/>
      </c>
    </row>
    <row r="13">
      <c r="A13" s="3" t="inlineStr">
        <is>
          <t>Total Variable Cost per Operator</t>
        </is>
      </c>
      <c r="B13" s="15">
        <f>B10+B11+B12</f>
        <v/>
      </c>
      <c r="C13" s="15">
        <f>C10+C11+C12</f>
        <v/>
      </c>
    </row>
    <row r="15">
      <c r="A15" s="2" t="inlineStr">
        <is>
          <t>REVENUE &amp; BREAK-EVEN</t>
        </is>
      </c>
    </row>
    <row r="16">
      <c r="A16" s="3" t="inlineStr">
        <is>
          <t>Avg Revenue per Operator/month</t>
        </is>
      </c>
      <c r="B16" s="15">
        <f>(Assumptions!B22*Assumptions!B25+Assumptions!B23*Assumptions!B26)/Assumptions!B24</f>
        <v/>
      </c>
      <c r="C16" s="15">
        <f>B16</f>
        <v/>
      </c>
    </row>
    <row r="17">
      <c r="A17" s="3" t="inlineStr">
        <is>
          <t>Contribution Margin per Operator</t>
        </is>
      </c>
      <c r="B17" s="15">
        <f>B16-B13</f>
        <v/>
      </c>
      <c r="C17" s="15">
        <f>C16-C13</f>
        <v/>
      </c>
    </row>
    <row r="18">
      <c r="A18" s="3" t="inlineStr">
        <is>
          <t>Break-Even # of Operators</t>
        </is>
      </c>
      <c r="B18" s="13">
        <f>ROUNDUP(B7/B17,0)</f>
        <v/>
      </c>
      <c r="C18" s="13">
        <f>ROUNDUP(C7/C17,0)</f>
        <v/>
      </c>
    </row>
    <row r="19">
      <c r="A19" s="3" t="inlineStr">
        <is>
          <t>Break-Even # of Customers</t>
        </is>
      </c>
      <c r="B19" s="13">
        <f>ROUNDUP(B18/Assumptions!B24,0)</f>
        <v/>
      </c>
      <c r="C19" s="13">
        <f>ROUNDUP(C18/Assumptions!B24,0)</f>
        <v/>
      </c>
    </row>
  </sheetData>
  <mergeCells count="4">
    <mergeCell ref="A1:C1"/>
    <mergeCell ref="A9:C9"/>
    <mergeCell ref="A3:C3"/>
    <mergeCell ref="A15:C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SENSITIVITY — GROSS MARGIN % (Haiku, Cloud API Direct)</t>
        </is>
      </c>
    </row>
    <row r="3">
      <c r="A3" s="3" t="inlineStr">
        <is>
          <t>Operators →</t>
        </is>
      </c>
      <c r="B3" s="4" t="n">
        <v>50</v>
      </c>
      <c r="C3" s="4" t="n">
        <v>100</v>
      </c>
      <c r="D3" s="4" t="n">
        <v>200</v>
      </c>
      <c r="E3" s="4" t="n">
        <v>500</v>
      </c>
      <c r="F3" s="4" t="n">
        <v>1000</v>
      </c>
    </row>
    <row r="4">
      <c r="A4" s="3" t="inlineStr">
        <is>
          <t>Price/Operator ↓</t>
        </is>
      </c>
    </row>
    <row r="5">
      <c r="A5" s="7" t="n">
        <v>5</v>
      </c>
      <c r="B5" s="16">
        <f>1-((Assumptions!B29*Assumptions!B9*Assumptions!B6+Assumptions!B9*Assumptions!B45*Assumptions!B52+Assumptions!B56/100)*B3+Assumptions!B55+Assumptions!B57)/($A5*B3)</f>
        <v/>
      </c>
      <c r="C5" s="16">
        <f>1-((Assumptions!B29*Assumptions!B9*Assumptions!B6+Assumptions!B9*Assumptions!B45*Assumptions!B52+Assumptions!B56/100)*C3+Assumptions!B55+Assumptions!B57)/($A5*C3)</f>
        <v/>
      </c>
      <c r="D5" s="16">
        <f>1-((Assumptions!B29*Assumptions!B9*Assumptions!B6+Assumptions!B9*Assumptions!B45*Assumptions!B52+Assumptions!B56/100)*D3+Assumptions!B55+Assumptions!B57)/($A5*D3)</f>
        <v/>
      </c>
      <c r="E5" s="16">
        <f>1-((Assumptions!B29*Assumptions!B9*Assumptions!B6+Assumptions!B9*Assumptions!B45*Assumptions!B52+Assumptions!B56/100)*E3+Assumptions!B55+Assumptions!B57)/($A5*E3)</f>
        <v/>
      </c>
      <c r="F5" s="16">
        <f>1-((Assumptions!B29*Assumptions!B9*Assumptions!B6+Assumptions!B9*Assumptions!B45*Assumptions!B52+Assumptions!B56/100)*F3+Assumptions!B55+Assumptions!B57)/($A5*F3)</f>
        <v/>
      </c>
    </row>
    <row r="6">
      <c r="A6" s="7" t="n">
        <v>8</v>
      </c>
      <c r="B6" s="16">
        <f>1-((Assumptions!B29*Assumptions!B9*Assumptions!B6+Assumptions!B9*Assumptions!B45*Assumptions!B52+Assumptions!B56/100)*B3+Assumptions!B55+Assumptions!B57)/($A6*B3)</f>
        <v/>
      </c>
      <c r="C6" s="16">
        <f>1-((Assumptions!B29*Assumptions!B9*Assumptions!B6+Assumptions!B9*Assumptions!B45*Assumptions!B52+Assumptions!B56/100)*C3+Assumptions!B55+Assumptions!B57)/($A6*C3)</f>
        <v/>
      </c>
      <c r="D6" s="16">
        <f>1-((Assumptions!B29*Assumptions!B9*Assumptions!B6+Assumptions!B9*Assumptions!B45*Assumptions!B52+Assumptions!B56/100)*D3+Assumptions!B55+Assumptions!B57)/($A6*D3)</f>
        <v/>
      </c>
      <c r="E6" s="16">
        <f>1-((Assumptions!B29*Assumptions!B9*Assumptions!B6+Assumptions!B9*Assumptions!B45*Assumptions!B52+Assumptions!B56/100)*E3+Assumptions!B55+Assumptions!B57)/($A6*E3)</f>
        <v/>
      </c>
      <c r="F6" s="16">
        <f>1-((Assumptions!B29*Assumptions!B9*Assumptions!B6+Assumptions!B9*Assumptions!B45*Assumptions!B52+Assumptions!B56/100)*F3+Assumptions!B55+Assumptions!B57)/($A6*F3)</f>
        <v/>
      </c>
    </row>
    <row r="7">
      <c r="A7" s="7" t="n">
        <v>10</v>
      </c>
      <c r="B7" s="16">
        <f>1-((Assumptions!B29*Assumptions!B9*Assumptions!B6+Assumptions!B9*Assumptions!B45*Assumptions!B52+Assumptions!B56/100)*B3+Assumptions!B55+Assumptions!B57)/($A7*B3)</f>
        <v/>
      </c>
      <c r="C7" s="16">
        <f>1-((Assumptions!B29*Assumptions!B9*Assumptions!B6+Assumptions!B9*Assumptions!B45*Assumptions!B52+Assumptions!B56/100)*C3+Assumptions!B55+Assumptions!B57)/($A7*C3)</f>
        <v/>
      </c>
      <c r="D7" s="16">
        <f>1-((Assumptions!B29*Assumptions!B9*Assumptions!B6+Assumptions!B9*Assumptions!B45*Assumptions!B52+Assumptions!B56/100)*D3+Assumptions!B55+Assumptions!B57)/($A7*D3)</f>
        <v/>
      </c>
      <c r="E7" s="16">
        <f>1-((Assumptions!B29*Assumptions!B9*Assumptions!B6+Assumptions!B9*Assumptions!B45*Assumptions!B52+Assumptions!B56/100)*E3+Assumptions!B55+Assumptions!B57)/($A7*E3)</f>
        <v/>
      </c>
      <c r="F7" s="16">
        <f>1-((Assumptions!B29*Assumptions!B9*Assumptions!B6+Assumptions!B9*Assumptions!B45*Assumptions!B52+Assumptions!B56/100)*F3+Assumptions!B55+Assumptions!B57)/($A7*F3)</f>
        <v/>
      </c>
    </row>
    <row r="8">
      <c r="A8" s="7" t="n">
        <v>12</v>
      </c>
      <c r="B8" s="16">
        <f>1-((Assumptions!B29*Assumptions!B9*Assumptions!B6+Assumptions!B9*Assumptions!B45*Assumptions!B52+Assumptions!B56/100)*B3+Assumptions!B55+Assumptions!B57)/($A8*B3)</f>
        <v/>
      </c>
      <c r="C8" s="16">
        <f>1-((Assumptions!B29*Assumptions!B9*Assumptions!B6+Assumptions!B9*Assumptions!B45*Assumptions!B52+Assumptions!B56/100)*C3+Assumptions!B55+Assumptions!B57)/($A8*C3)</f>
        <v/>
      </c>
      <c r="D8" s="16">
        <f>1-((Assumptions!B29*Assumptions!B9*Assumptions!B6+Assumptions!B9*Assumptions!B45*Assumptions!B52+Assumptions!B56/100)*D3+Assumptions!B55+Assumptions!B57)/($A8*D3)</f>
        <v/>
      </c>
      <c r="E8" s="16">
        <f>1-((Assumptions!B29*Assumptions!B9*Assumptions!B6+Assumptions!B9*Assumptions!B45*Assumptions!B52+Assumptions!B56/100)*E3+Assumptions!B55+Assumptions!B57)/($A8*E3)</f>
        <v/>
      </c>
      <c r="F8" s="16">
        <f>1-((Assumptions!B29*Assumptions!B9*Assumptions!B6+Assumptions!B9*Assumptions!B45*Assumptions!B52+Assumptions!B56/100)*F3+Assumptions!B55+Assumptions!B57)/($A8*F3)</f>
        <v/>
      </c>
    </row>
    <row r="9">
      <c r="A9" s="7" t="n">
        <v>15</v>
      </c>
      <c r="B9" s="16">
        <f>1-((Assumptions!B29*Assumptions!B9*Assumptions!B6+Assumptions!B9*Assumptions!B45*Assumptions!B52+Assumptions!B56/100)*B3+Assumptions!B55+Assumptions!B57)/($A9*B3)</f>
        <v/>
      </c>
      <c r="C9" s="16">
        <f>1-((Assumptions!B29*Assumptions!B9*Assumptions!B6+Assumptions!B9*Assumptions!B45*Assumptions!B52+Assumptions!B56/100)*C3+Assumptions!B55+Assumptions!B57)/($A9*C3)</f>
        <v/>
      </c>
      <c r="D9" s="16">
        <f>1-((Assumptions!B29*Assumptions!B9*Assumptions!B6+Assumptions!B9*Assumptions!B45*Assumptions!B52+Assumptions!B56/100)*D3+Assumptions!B55+Assumptions!B57)/($A9*D3)</f>
        <v/>
      </c>
      <c r="E9" s="16">
        <f>1-((Assumptions!B29*Assumptions!B9*Assumptions!B6+Assumptions!B9*Assumptions!B45*Assumptions!B52+Assumptions!B56/100)*E3+Assumptions!B55+Assumptions!B57)/($A9*E3)</f>
        <v/>
      </c>
      <c r="F9" s="16">
        <f>1-((Assumptions!B29*Assumptions!B9*Assumptions!B6+Assumptions!B9*Assumptions!B45*Assumptions!B52+Assumptions!B56/100)*F3+Assumptions!B55+Assumptions!B57)/($A9*F3)</f>
        <v/>
      </c>
    </row>
    <row r="10">
      <c r="A10" s="7" t="n">
        <v>20</v>
      </c>
      <c r="B10" s="16">
        <f>1-((Assumptions!B29*Assumptions!B9*Assumptions!B6+Assumptions!B9*Assumptions!B45*Assumptions!B52+Assumptions!B56/100)*B3+Assumptions!B55+Assumptions!B57)/($A10*B3)</f>
        <v/>
      </c>
      <c r="C10" s="16">
        <f>1-((Assumptions!B29*Assumptions!B9*Assumptions!B6+Assumptions!B9*Assumptions!B45*Assumptions!B52+Assumptions!B56/100)*C3+Assumptions!B55+Assumptions!B57)/($A10*C3)</f>
        <v/>
      </c>
      <c r="D10" s="16">
        <f>1-((Assumptions!B29*Assumptions!B9*Assumptions!B6+Assumptions!B9*Assumptions!B45*Assumptions!B52+Assumptions!B56/100)*D3+Assumptions!B55+Assumptions!B57)/($A10*D3)</f>
        <v/>
      </c>
      <c r="E10" s="16">
        <f>1-((Assumptions!B29*Assumptions!B9*Assumptions!B6+Assumptions!B9*Assumptions!B45*Assumptions!B52+Assumptions!B56/100)*E3+Assumptions!B55+Assumptions!B57)/($A10*E3)</f>
        <v/>
      </c>
      <c r="F10" s="16">
        <f>1-((Assumptions!B29*Assumptions!B9*Assumptions!B6+Assumptions!B9*Assumptions!B45*Assumptions!B52+Assumptions!B56/100)*F3+Assumptions!B55+Assumptions!B57)/($A10*F3)</f>
        <v/>
      </c>
    </row>
    <row r="12">
      <c r="A12" s="1" t="inlineStr">
        <is>
          <t>SENSITIVITY — GROSS MARGIN % (Sonnet 4.5, Cloud API Direct)</t>
        </is>
      </c>
    </row>
    <row r="14">
      <c r="A14" s="3" t="inlineStr">
        <is>
          <t>Operators →</t>
        </is>
      </c>
      <c r="B14" s="4" t="n">
        <v>50</v>
      </c>
      <c r="C14" s="4" t="n">
        <v>100</v>
      </c>
      <c r="D14" s="4" t="n">
        <v>200</v>
      </c>
      <c r="E14" s="4" t="n">
        <v>500</v>
      </c>
      <c r="F14" s="4" t="n">
        <v>1000</v>
      </c>
    </row>
    <row r="15">
      <c r="A15" s="7" t="n">
        <v>5</v>
      </c>
      <c r="B15" s="16">
        <f>1-((Assumptions!B29*Assumptions!B9*Assumptions!B6+Assumptions!B9*Assumptions!B45*Assumptions!B51+Assumptions!B56/100)*B14+Assumptions!B55+Assumptions!B57)/($A15*B14)</f>
        <v/>
      </c>
      <c r="C15" s="16">
        <f>1-((Assumptions!B29*Assumptions!B9*Assumptions!B6+Assumptions!B9*Assumptions!B45*Assumptions!B51+Assumptions!B56/100)*C14+Assumptions!B55+Assumptions!B57)/($A15*C14)</f>
        <v/>
      </c>
      <c r="D15" s="16">
        <f>1-((Assumptions!B29*Assumptions!B9*Assumptions!B6+Assumptions!B9*Assumptions!B45*Assumptions!B51+Assumptions!B56/100)*D14+Assumptions!B55+Assumptions!B57)/($A15*D14)</f>
        <v/>
      </c>
      <c r="E15" s="16">
        <f>1-((Assumptions!B29*Assumptions!B9*Assumptions!B6+Assumptions!B9*Assumptions!B45*Assumptions!B51+Assumptions!B56/100)*E14+Assumptions!B55+Assumptions!B57)/($A15*E14)</f>
        <v/>
      </c>
      <c r="F15" s="16">
        <f>1-((Assumptions!B29*Assumptions!B9*Assumptions!B6+Assumptions!B9*Assumptions!B45*Assumptions!B51+Assumptions!B56/100)*F14+Assumptions!B55+Assumptions!B57)/($A15*F14)</f>
        <v/>
      </c>
    </row>
    <row r="16">
      <c r="A16" s="7" t="n">
        <v>8</v>
      </c>
      <c r="B16" s="16">
        <f>1-((Assumptions!B29*Assumptions!B9*Assumptions!B6+Assumptions!B9*Assumptions!B45*Assumptions!B51+Assumptions!B56/100)*B14+Assumptions!B55+Assumptions!B57)/($A16*B14)</f>
        <v/>
      </c>
      <c r="C16" s="16">
        <f>1-((Assumptions!B29*Assumptions!B9*Assumptions!B6+Assumptions!B9*Assumptions!B45*Assumptions!B51+Assumptions!B56/100)*C14+Assumptions!B55+Assumptions!B57)/($A16*C14)</f>
        <v/>
      </c>
      <c r="D16" s="16">
        <f>1-((Assumptions!B29*Assumptions!B9*Assumptions!B6+Assumptions!B9*Assumptions!B45*Assumptions!B51+Assumptions!B56/100)*D14+Assumptions!B55+Assumptions!B57)/($A16*D14)</f>
        <v/>
      </c>
      <c r="E16" s="16">
        <f>1-((Assumptions!B29*Assumptions!B9*Assumptions!B6+Assumptions!B9*Assumptions!B45*Assumptions!B51+Assumptions!B56/100)*E14+Assumptions!B55+Assumptions!B57)/($A16*E14)</f>
        <v/>
      </c>
      <c r="F16" s="16">
        <f>1-((Assumptions!B29*Assumptions!B9*Assumptions!B6+Assumptions!B9*Assumptions!B45*Assumptions!B51+Assumptions!B56/100)*F14+Assumptions!B55+Assumptions!B57)/($A16*F14)</f>
        <v/>
      </c>
    </row>
    <row r="17">
      <c r="A17" s="7" t="n">
        <v>10</v>
      </c>
      <c r="B17" s="16">
        <f>1-((Assumptions!B29*Assumptions!B9*Assumptions!B6+Assumptions!B9*Assumptions!B45*Assumptions!B51+Assumptions!B56/100)*B14+Assumptions!B55+Assumptions!B57)/($A17*B14)</f>
        <v/>
      </c>
      <c r="C17" s="16">
        <f>1-((Assumptions!B29*Assumptions!B9*Assumptions!B6+Assumptions!B9*Assumptions!B45*Assumptions!B51+Assumptions!B56/100)*C14+Assumptions!B55+Assumptions!B57)/($A17*C14)</f>
        <v/>
      </c>
      <c r="D17" s="16">
        <f>1-((Assumptions!B29*Assumptions!B9*Assumptions!B6+Assumptions!B9*Assumptions!B45*Assumptions!B51+Assumptions!B56/100)*D14+Assumptions!B55+Assumptions!B57)/($A17*D14)</f>
        <v/>
      </c>
      <c r="E17" s="16">
        <f>1-((Assumptions!B29*Assumptions!B9*Assumptions!B6+Assumptions!B9*Assumptions!B45*Assumptions!B51+Assumptions!B56/100)*E14+Assumptions!B55+Assumptions!B57)/($A17*E14)</f>
        <v/>
      </c>
      <c r="F17" s="16">
        <f>1-((Assumptions!B29*Assumptions!B9*Assumptions!B6+Assumptions!B9*Assumptions!B45*Assumptions!B51+Assumptions!B56/100)*F14+Assumptions!B55+Assumptions!B57)/($A17*F14)</f>
        <v/>
      </c>
    </row>
    <row r="18">
      <c r="A18" s="7" t="n">
        <v>12</v>
      </c>
      <c r="B18" s="16">
        <f>1-((Assumptions!B29*Assumptions!B9*Assumptions!B6+Assumptions!B9*Assumptions!B45*Assumptions!B51+Assumptions!B56/100)*B14+Assumptions!B55+Assumptions!B57)/($A18*B14)</f>
        <v/>
      </c>
      <c r="C18" s="16">
        <f>1-((Assumptions!B29*Assumptions!B9*Assumptions!B6+Assumptions!B9*Assumptions!B45*Assumptions!B51+Assumptions!B56/100)*C14+Assumptions!B55+Assumptions!B57)/($A18*C14)</f>
        <v/>
      </c>
      <c r="D18" s="16">
        <f>1-((Assumptions!B29*Assumptions!B9*Assumptions!B6+Assumptions!B9*Assumptions!B45*Assumptions!B51+Assumptions!B56/100)*D14+Assumptions!B55+Assumptions!B57)/($A18*D14)</f>
        <v/>
      </c>
      <c r="E18" s="16">
        <f>1-((Assumptions!B29*Assumptions!B9*Assumptions!B6+Assumptions!B9*Assumptions!B45*Assumptions!B51+Assumptions!B56/100)*E14+Assumptions!B55+Assumptions!B57)/($A18*E14)</f>
        <v/>
      </c>
      <c r="F18" s="16">
        <f>1-((Assumptions!B29*Assumptions!B9*Assumptions!B6+Assumptions!B9*Assumptions!B45*Assumptions!B51+Assumptions!B56/100)*F14+Assumptions!B55+Assumptions!B57)/($A18*F14)</f>
        <v/>
      </c>
    </row>
    <row r="19">
      <c r="A19" s="7" t="n">
        <v>15</v>
      </c>
      <c r="B19" s="16">
        <f>1-((Assumptions!B29*Assumptions!B9*Assumptions!B6+Assumptions!B9*Assumptions!B45*Assumptions!B51+Assumptions!B56/100)*B14+Assumptions!B55+Assumptions!B57)/($A19*B14)</f>
        <v/>
      </c>
      <c r="C19" s="16">
        <f>1-((Assumptions!B29*Assumptions!B9*Assumptions!B6+Assumptions!B9*Assumptions!B45*Assumptions!B51+Assumptions!B56/100)*C14+Assumptions!B55+Assumptions!B57)/($A19*C14)</f>
        <v/>
      </c>
      <c r="D19" s="16">
        <f>1-((Assumptions!B29*Assumptions!B9*Assumptions!B6+Assumptions!B9*Assumptions!B45*Assumptions!B51+Assumptions!B56/100)*D14+Assumptions!B55+Assumptions!B57)/($A19*D14)</f>
        <v/>
      </c>
      <c r="E19" s="16">
        <f>1-((Assumptions!B29*Assumptions!B9*Assumptions!B6+Assumptions!B9*Assumptions!B45*Assumptions!B51+Assumptions!B56/100)*E14+Assumptions!B55+Assumptions!B57)/($A19*E14)</f>
        <v/>
      </c>
      <c r="F19" s="16">
        <f>1-((Assumptions!B29*Assumptions!B9*Assumptions!B6+Assumptions!B9*Assumptions!B45*Assumptions!B51+Assumptions!B56/100)*F14+Assumptions!B55+Assumptions!B57)/($A19*F14)</f>
        <v/>
      </c>
    </row>
    <row r="20">
      <c r="A20" s="7" t="n">
        <v>20</v>
      </c>
      <c r="B20" s="16">
        <f>1-((Assumptions!B29*Assumptions!B9*Assumptions!B6+Assumptions!B9*Assumptions!B45*Assumptions!B51+Assumptions!B56/100)*B14+Assumptions!B55+Assumptions!B57)/($A20*B14)</f>
        <v/>
      </c>
      <c r="C20" s="16">
        <f>1-((Assumptions!B29*Assumptions!B9*Assumptions!B6+Assumptions!B9*Assumptions!B45*Assumptions!B51+Assumptions!B56/100)*C14+Assumptions!B55+Assumptions!B57)/($A20*C14)</f>
        <v/>
      </c>
      <c r="D20" s="16">
        <f>1-((Assumptions!B29*Assumptions!B9*Assumptions!B6+Assumptions!B9*Assumptions!B45*Assumptions!B51+Assumptions!B56/100)*D14+Assumptions!B55+Assumptions!B57)/($A20*D14)</f>
        <v/>
      </c>
      <c r="E20" s="16">
        <f>1-((Assumptions!B29*Assumptions!B9*Assumptions!B6+Assumptions!B9*Assumptions!B45*Assumptions!B51+Assumptions!B56/100)*E14+Assumptions!B55+Assumptions!B57)/($A20*E14)</f>
        <v/>
      </c>
      <c r="F20" s="16">
        <f>1-((Assumptions!B29*Assumptions!B9*Assumptions!B6+Assumptions!B9*Assumptions!B45*Assumptions!B51+Assumptions!B56/100)*F14+Assumptions!B55+Assumptions!B57)/($A20*F14)</f>
        <v/>
      </c>
    </row>
  </sheetData>
  <mergeCells count="2"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2026-02-11T12:35:01Z</dcterms:created>
  <dcterms:modified xsi:type="dcterms:W3CDTF">2026-02-11T12:35:01Z</dcterms:modified>
</cp:coreProperties>
</file>